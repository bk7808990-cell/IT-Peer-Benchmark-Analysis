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 peer\finanace\"/>
    </mc:Choice>
  </mc:AlternateContent>
  <xr:revisionPtr revIDLastSave="0" documentId="13_ncr:1_{E347691E-EF14-494A-9A5B-F4AAC97BFAD0}" xr6:coauthVersionLast="47" xr6:coauthVersionMax="47" xr10:uidLastSave="{00000000-0000-0000-0000-000000000000}"/>
  <bookViews>
    <workbookView xWindow="-108" yWindow="-108" windowWidth="23256" windowHeight="12456" activeTab="2" xr2:uid="{3E97688D-51F1-4943-8BE2-6655D02D5ABB}"/>
  </bookViews>
  <sheets>
    <sheet name="Peer matrix " sheetId="1" r:id="rId1"/>
    <sheet name="Margin Bridge" sheetId="2" r:id="rId2"/>
    <sheet name="Scenario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C10" i="3"/>
  <c r="B10" i="3"/>
  <c r="D3" i="3"/>
  <c r="D4" i="3" s="1"/>
  <c r="D5" i="3" s="1"/>
  <c r="C3" i="3"/>
  <c r="C4" i="3" s="1"/>
  <c r="C5" i="3" s="1"/>
  <c r="B3" i="3"/>
  <c r="B4" i="3" s="1"/>
  <c r="B5" i="3" s="1"/>
  <c r="B10" i="2"/>
  <c r="B11" i="2" s="1"/>
  <c r="C38" i="1"/>
  <c r="H38" i="1"/>
  <c r="G38" i="1"/>
  <c r="E38" i="1"/>
  <c r="D38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10" i="1"/>
  <c r="I11" i="1"/>
  <c r="I12" i="1"/>
  <c r="I13" i="1"/>
  <c r="I2" i="1"/>
  <c r="G2" i="1"/>
  <c r="I3" i="1"/>
  <c r="I4" i="1"/>
  <c r="I5" i="1"/>
  <c r="I6" i="1"/>
  <c r="I7" i="1"/>
  <c r="I8" i="1"/>
  <c r="I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</calcChain>
</file>

<file path=xl/sharedStrings.xml><?xml version="1.0" encoding="utf-8"?>
<sst xmlns="http://schemas.openxmlformats.org/spreadsheetml/2006/main" count="104" uniqueCount="46">
  <si>
    <t>FY</t>
  </si>
  <si>
    <t>Revenue</t>
  </si>
  <si>
    <t>EBITDA</t>
  </si>
  <si>
    <t>Emp_Cost</t>
  </si>
  <si>
    <t>Employee Count</t>
  </si>
  <si>
    <t>EBITDA Margin %</t>
  </si>
  <si>
    <t>Emp Cost Ratio %</t>
  </si>
  <si>
    <t>Rev per Emp</t>
  </si>
  <si>
    <t>Persistent Systems</t>
  </si>
  <si>
    <t>FY21</t>
  </si>
  <si>
    <t>FY22</t>
  </si>
  <si>
    <t>FY23</t>
  </si>
  <si>
    <t>FY24</t>
  </si>
  <si>
    <t>FY25</t>
  </si>
  <si>
    <t>KPIT Technologies</t>
  </si>
  <si>
    <t>Coforge</t>
  </si>
  <si>
    <t>Mphasis</t>
  </si>
  <si>
    <t>LTTS</t>
  </si>
  <si>
    <t>Cyient</t>
  </si>
  <si>
    <t>Zensar</t>
  </si>
  <si>
    <t>Peer Median (FY25)</t>
  </si>
  <si>
    <t>Company+A1:I28</t>
  </si>
  <si>
    <t>Metric</t>
  </si>
  <si>
    <t>Value (%)</t>
  </si>
  <si>
    <t>Persistent Margin</t>
  </si>
  <si>
    <t>Peer Median Margin</t>
  </si>
  <si>
    <t>Total Gap (in %)</t>
  </si>
  <si>
    <t>Table 1 - The Core Gap</t>
  </si>
  <si>
    <t>Table 2 - MECE Breakdown</t>
  </si>
  <si>
    <t>Gap Breakdown</t>
  </si>
  <si>
    <t>Impact of Employee Cost</t>
  </si>
  <si>
    <t>Impact of Operations/Other</t>
  </si>
  <si>
    <t>Year</t>
  </si>
  <si>
    <t>Base Case (10%)</t>
  </si>
  <si>
    <t>Best Case (15%)</t>
  </si>
  <si>
    <t>Worst Case (5%)</t>
  </si>
  <si>
    <t>FY26</t>
  </si>
  <si>
    <t>FY27</t>
  </si>
  <si>
    <t>FY28</t>
  </si>
  <si>
    <r>
      <t xml:space="preserve"> </t>
    </r>
    <r>
      <rPr>
        <b/>
        <sz val="14"/>
        <color theme="1"/>
        <rFont val="Calibri"/>
        <family val="2"/>
        <scheme val="minor"/>
      </rPr>
      <t>3-Year Revenue Projection</t>
    </r>
  </si>
  <si>
    <t xml:space="preserve"> Sensitivity Analysis</t>
  </si>
  <si>
    <t>What-If Scenario</t>
  </si>
  <si>
    <t>Current Margin</t>
  </si>
  <si>
    <t>New Margin</t>
  </si>
  <si>
    <t>Impact (bps)</t>
  </si>
  <si>
    <t>5% Drop in Employee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</si>
</sst>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9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168" fontId="0" fillId="0" borderId="0" xfId="0" applyNumberFormat="1"/>
    <xf numFmtId="2" fontId="0" fillId="0" borderId="0" xfId="0" applyNumberFormat="1"/>
    <xf numFmtId="9" fontId="0" fillId="0" borderId="0" xfId="1" applyFont="1"/>
    <xf numFmtId="0" fontId="4" fillId="0" borderId="0" xfId="0" applyFont="1"/>
    <xf numFmtId="2" fontId="2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Margin Bridge: Persistent vs Peer Median (FY25)</a:t>
            </a:r>
            <a:endParaRPr lang="en-IN" b="1"/>
          </a:p>
        </c:rich>
      </c:tx>
      <c:layout>
        <c:manualLayout>
          <c:xMode val="edge"/>
          <c:yMode val="edge"/>
          <c:x val="0.13214285714285715"/>
          <c:y val="5.6634304207119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306946006749161E-2"/>
          <c:y val="0.43834951456310678"/>
          <c:w val="0.86202638732658421"/>
          <c:h val="0.37396223530311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'Margin Bridge'!$A$3:$A$4</c:f>
              <c:strCache>
                <c:ptCount val="2"/>
                <c:pt idx="0">
                  <c:v>Persistent Margin</c:v>
                </c:pt>
                <c:pt idx="1">
                  <c:v>Peer Median Margin</c:v>
                </c:pt>
              </c:strCache>
            </c:strRef>
          </c:cat>
          <c:val>
            <c:numRef>
              <c:f>'Margin Bridge'!$B$3:$B$4</c:f>
              <c:numCache>
                <c:formatCode>0.00</c:formatCode>
                <c:ptCount val="2"/>
                <c:pt idx="0">
                  <c:v>17.239704088880551</c:v>
                </c:pt>
                <c:pt idx="1">
                  <c:v>18.37028815651065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5-43BF-BE69-43C9ABF3F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528735"/>
        <c:axId val="1187110191"/>
      </c:barChart>
      <c:catAx>
        <c:axId val="118452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10191"/>
        <c:crosses val="autoZero"/>
        <c:auto val="1"/>
        <c:lblAlgn val="ctr"/>
        <c:lblOffset val="100"/>
        <c:noMultiLvlLbl val="0"/>
      </c:catAx>
      <c:valAx>
        <c:axId val="11871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2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9</xdr:col>
      <xdr:colOff>68580</xdr:colOff>
      <xdr:row>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0EB01-FCBF-5CFB-3F9E-98475E106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672D-4458-4CA1-B535-8848F2774329}">
  <dimension ref="A1:I38"/>
  <sheetViews>
    <sheetView workbookViewId="0">
      <selection activeCell="C39" sqref="C39"/>
    </sheetView>
  </sheetViews>
  <sheetFormatPr defaultRowHeight="14.4" x14ac:dyDescent="0.3"/>
  <cols>
    <col min="1" max="1" width="16.77734375" bestFit="1" customWidth="1"/>
    <col min="5" max="5" width="10.33203125" bestFit="1" customWidth="1"/>
    <col min="6" max="6" width="16.44140625" bestFit="1" customWidth="1"/>
    <col min="7" max="7" width="17.33203125" bestFit="1" customWidth="1"/>
    <col min="8" max="8" width="17.6640625" bestFit="1" customWidth="1"/>
    <col min="9" max="9" width="12.6640625" bestFit="1" customWidth="1"/>
  </cols>
  <sheetData>
    <row r="1" spans="1:9" ht="15.6" x14ac:dyDescent="0.3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t="s">
        <v>8</v>
      </c>
      <c r="B2" t="s">
        <v>9</v>
      </c>
      <c r="C2">
        <v>4187.8900000000003</v>
      </c>
      <c r="D2">
        <v>683.44</v>
      </c>
      <c r="E2">
        <v>2517.31</v>
      </c>
      <c r="G2" s="4">
        <f>IFERROR((D2/C2)*100, "N/A")</f>
        <v>16.31943532423249</v>
      </c>
      <c r="H2" s="4">
        <f>IFERROR((E2/C2)*100, "N/A")</f>
        <v>60.109267435391089</v>
      </c>
      <c r="I2" t="str">
        <f>IFERROR((C2/F2)*100,"N/A")</f>
        <v>N/A</v>
      </c>
    </row>
    <row r="3" spans="1:9" x14ac:dyDescent="0.3">
      <c r="A3" t="s">
        <v>8</v>
      </c>
      <c r="B3" t="s">
        <v>10</v>
      </c>
      <c r="C3">
        <v>5710.75</v>
      </c>
      <c r="D3">
        <v>958.94</v>
      </c>
      <c r="E3">
        <v>3462.14</v>
      </c>
      <c r="G3" s="4">
        <f t="shared" ref="G3:G36" si="0">IFERROR((D3/C3)*100, "N/A")</f>
        <v>16.791839950969663</v>
      </c>
      <c r="H3" s="4">
        <f t="shared" ref="H3:H36" si="1">IFERROR((E3/C3)*100, "N/A")</f>
        <v>60.62496169504881</v>
      </c>
      <c r="I3" t="str">
        <f t="shared" ref="I3:I38" si="2">IFERROR((C3/F3)*100,"N/A")</f>
        <v>N/A</v>
      </c>
    </row>
    <row r="4" spans="1:9" x14ac:dyDescent="0.3">
      <c r="A4" t="s">
        <v>8</v>
      </c>
      <c r="B4" t="s">
        <v>11</v>
      </c>
      <c r="C4">
        <v>8350.59</v>
      </c>
      <c r="D4">
        <v>1519.82</v>
      </c>
      <c r="E4">
        <v>4973.17</v>
      </c>
      <c r="G4" s="4">
        <f t="shared" si="0"/>
        <v>18.200151127046112</v>
      </c>
      <c r="H4" s="4">
        <f t="shared" si="1"/>
        <v>59.554714098045771</v>
      </c>
      <c r="I4" t="str">
        <f t="shared" si="2"/>
        <v>N/A</v>
      </c>
    </row>
    <row r="5" spans="1:9" x14ac:dyDescent="0.3">
      <c r="A5" t="s">
        <v>8</v>
      </c>
      <c r="B5" t="s">
        <v>12</v>
      </c>
      <c r="C5">
        <v>9821.59</v>
      </c>
      <c r="D5">
        <v>1674.99</v>
      </c>
      <c r="E5">
        <v>5965.2</v>
      </c>
      <c r="F5">
        <v>23850</v>
      </c>
      <c r="G5" s="4">
        <f t="shared" si="0"/>
        <v>17.054163327933665</v>
      </c>
      <c r="H5" s="4">
        <f t="shared" si="1"/>
        <v>60.735583546044992</v>
      </c>
      <c r="I5" s="4">
        <f t="shared" si="2"/>
        <v>41.180670859538786</v>
      </c>
    </row>
    <row r="6" spans="1:9" x14ac:dyDescent="0.3">
      <c r="A6" t="s">
        <v>8</v>
      </c>
      <c r="B6" t="s">
        <v>13</v>
      </c>
      <c r="C6">
        <v>11938.72</v>
      </c>
      <c r="D6">
        <v>2058.1999999999998</v>
      </c>
      <c r="E6">
        <v>6878.19</v>
      </c>
      <c r="F6">
        <v>24594</v>
      </c>
      <c r="G6" s="4">
        <f t="shared" si="0"/>
        <v>17.239704088880551</v>
      </c>
      <c r="H6" s="4">
        <f t="shared" si="1"/>
        <v>57.612457616896947</v>
      </c>
      <c r="I6" s="4">
        <f t="shared" si="2"/>
        <v>48.543221924046513</v>
      </c>
    </row>
    <row r="7" spans="1:9" x14ac:dyDescent="0.3">
      <c r="A7" t="s">
        <v>14</v>
      </c>
      <c r="B7" t="s">
        <v>9</v>
      </c>
      <c r="C7">
        <v>2035.74</v>
      </c>
      <c r="D7">
        <v>307.14</v>
      </c>
      <c r="E7">
        <v>1341.47</v>
      </c>
      <c r="G7" s="4">
        <f t="shared" si="0"/>
        <v>15.087388369831118</v>
      </c>
      <c r="H7" s="4">
        <f t="shared" si="1"/>
        <v>65.895939560061706</v>
      </c>
      <c r="I7" t="str">
        <f t="shared" si="2"/>
        <v>N/A</v>
      </c>
    </row>
    <row r="8" spans="1:9" x14ac:dyDescent="0.3">
      <c r="A8" t="s">
        <v>14</v>
      </c>
      <c r="B8" t="s">
        <v>10</v>
      </c>
      <c r="C8">
        <v>2432.39</v>
      </c>
      <c r="D8">
        <v>438.55</v>
      </c>
      <c r="E8">
        <v>1610.6</v>
      </c>
      <c r="G8" s="4">
        <f t="shared" si="0"/>
        <v>18.02959229399891</v>
      </c>
      <c r="H8" s="4">
        <f t="shared" si="1"/>
        <v>66.214710634396624</v>
      </c>
      <c r="I8" t="str">
        <f t="shared" si="2"/>
        <v>N/A</v>
      </c>
    </row>
    <row r="9" spans="1:9" x14ac:dyDescent="0.3">
      <c r="A9" t="s">
        <v>14</v>
      </c>
      <c r="B9" t="s">
        <v>11</v>
      </c>
      <c r="C9">
        <v>3365.04</v>
      </c>
      <c r="D9">
        <v>632.89</v>
      </c>
      <c r="E9">
        <v>2155.3000000000002</v>
      </c>
      <c r="G9" s="4">
        <f t="shared" si="0"/>
        <v>18.807800204455223</v>
      </c>
      <c r="H9" s="4">
        <f t="shared" si="1"/>
        <v>64.049758695290407</v>
      </c>
      <c r="I9" t="str">
        <f t="shared" si="2"/>
        <v>N/A</v>
      </c>
    </row>
    <row r="10" spans="1:9" x14ac:dyDescent="0.3">
      <c r="A10" t="s">
        <v>14</v>
      </c>
      <c r="B10" t="s">
        <v>12</v>
      </c>
      <c r="C10">
        <v>4871.54</v>
      </c>
      <c r="D10">
        <v>990.79</v>
      </c>
      <c r="E10">
        <v>3112.03</v>
      </c>
      <c r="F10">
        <v>12650</v>
      </c>
      <c r="G10" s="4">
        <f t="shared" si="0"/>
        <v>20.338332436970649</v>
      </c>
      <c r="H10" s="4">
        <f t="shared" si="1"/>
        <v>63.881852555865294</v>
      </c>
      <c r="I10" s="4">
        <f>IFERROR((C10/F10)*100,"N/A")</f>
        <v>38.510197628458499</v>
      </c>
    </row>
    <row r="11" spans="1:9" x14ac:dyDescent="0.3">
      <c r="A11" t="s">
        <v>14</v>
      </c>
      <c r="B11" t="s">
        <v>13</v>
      </c>
      <c r="C11">
        <v>5842.35</v>
      </c>
      <c r="D11">
        <v>1229.78</v>
      </c>
      <c r="E11">
        <v>3699.27</v>
      </c>
      <c r="F11">
        <v>13200</v>
      </c>
      <c r="G11" s="4">
        <f t="shared" si="0"/>
        <v>21.04940648882727</v>
      </c>
      <c r="H11" s="4">
        <f t="shared" si="1"/>
        <v>63.318185319263655</v>
      </c>
      <c r="I11" s="4">
        <f t="shared" si="2"/>
        <v>44.260227272727278</v>
      </c>
    </row>
    <row r="12" spans="1:9" x14ac:dyDescent="0.3">
      <c r="A12" t="s">
        <v>15</v>
      </c>
      <c r="B12" t="s">
        <v>9</v>
      </c>
      <c r="C12">
        <v>4662.8</v>
      </c>
      <c r="D12">
        <v>766.3</v>
      </c>
      <c r="E12">
        <v>2815.8</v>
      </c>
      <c r="G12" s="4">
        <f t="shared" si="0"/>
        <v>16.434331303079695</v>
      </c>
      <c r="H12" s="4">
        <f t="shared" si="1"/>
        <v>60.388607703525778</v>
      </c>
      <c r="I12" t="str">
        <f t="shared" si="2"/>
        <v>N/A</v>
      </c>
    </row>
    <row r="13" spans="1:9" x14ac:dyDescent="0.3">
      <c r="A13" t="s">
        <v>15</v>
      </c>
      <c r="B13" t="s">
        <v>10</v>
      </c>
      <c r="C13">
        <v>6432</v>
      </c>
      <c r="D13">
        <v>1151.5999999999999</v>
      </c>
      <c r="E13">
        <v>3834.6</v>
      </c>
      <c r="G13" s="4">
        <f t="shared" si="0"/>
        <v>17.904228855721392</v>
      </c>
      <c r="H13" s="4">
        <f t="shared" si="1"/>
        <v>59.617537313432834</v>
      </c>
      <c r="I13" t="str">
        <f t="shared" si="2"/>
        <v>N/A</v>
      </c>
    </row>
    <row r="14" spans="1:9" x14ac:dyDescent="0.3">
      <c r="A14" t="s">
        <v>15</v>
      </c>
      <c r="B14" t="s">
        <v>11</v>
      </c>
      <c r="C14">
        <v>8014.6</v>
      </c>
      <c r="D14">
        <v>1470.9</v>
      </c>
      <c r="E14">
        <v>4828</v>
      </c>
      <c r="G14" s="4">
        <f t="shared" si="0"/>
        <v>18.352756219898687</v>
      </c>
      <c r="H14" s="4">
        <f t="shared" si="1"/>
        <v>60.240061887056115</v>
      </c>
      <c r="I14" t="str">
        <f t="shared" si="2"/>
        <v>N/A</v>
      </c>
    </row>
    <row r="15" spans="1:9" x14ac:dyDescent="0.3">
      <c r="A15" t="s">
        <v>15</v>
      </c>
      <c r="B15" t="s">
        <v>12</v>
      </c>
      <c r="C15">
        <v>9008.9</v>
      </c>
      <c r="D15">
        <v>1653.7</v>
      </c>
      <c r="E15">
        <v>5391.4</v>
      </c>
      <c r="F15">
        <v>31200</v>
      </c>
      <c r="G15" s="4">
        <f t="shared" si="0"/>
        <v>18.356292111134547</v>
      </c>
      <c r="H15" s="4">
        <f t="shared" si="1"/>
        <v>59.845264127695941</v>
      </c>
      <c r="I15" s="4">
        <f t="shared" si="2"/>
        <v>28.874679487179488</v>
      </c>
    </row>
    <row r="16" spans="1:9" x14ac:dyDescent="0.3">
      <c r="A16" t="s">
        <v>15</v>
      </c>
      <c r="B16" t="s">
        <v>13</v>
      </c>
      <c r="C16">
        <v>12073.3</v>
      </c>
      <c r="D16">
        <v>2217.9</v>
      </c>
      <c r="E16">
        <v>7224.1</v>
      </c>
      <c r="F16">
        <v>33497</v>
      </c>
      <c r="G16" s="4">
        <f t="shared" si="0"/>
        <v>18.37028815651065</v>
      </c>
      <c r="H16" s="4">
        <f t="shared" si="1"/>
        <v>59.83533913677288</v>
      </c>
      <c r="I16" s="3">
        <f t="shared" si="2"/>
        <v>36.042929217541868</v>
      </c>
    </row>
    <row r="17" spans="1:9" x14ac:dyDescent="0.3">
      <c r="A17" t="s">
        <v>16</v>
      </c>
      <c r="B17" t="s">
        <v>9</v>
      </c>
      <c r="C17">
        <v>9722.31</v>
      </c>
      <c r="D17">
        <v>1798.75</v>
      </c>
      <c r="E17">
        <v>5629.79</v>
      </c>
      <c r="G17" s="4">
        <f t="shared" si="0"/>
        <v>18.501261531467318</v>
      </c>
      <c r="H17" s="4">
        <f t="shared" si="1"/>
        <v>57.905888621119885</v>
      </c>
      <c r="I17" t="str">
        <f t="shared" si="2"/>
        <v>N/A</v>
      </c>
    </row>
    <row r="18" spans="1:9" x14ac:dyDescent="0.3">
      <c r="A18" t="s">
        <v>16</v>
      </c>
      <c r="B18" t="s">
        <v>10</v>
      </c>
      <c r="C18">
        <v>11961.44</v>
      </c>
      <c r="D18">
        <v>2117.6</v>
      </c>
      <c r="E18">
        <v>7034.5</v>
      </c>
      <c r="G18" s="4">
        <f t="shared" si="0"/>
        <v>17.70355408713332</v>
      </c>
      <c r="H18" s="4">
        <f t="shared" si="1"/>
        <v>58.809808852445855</v>
      </c>
      <c r="I18" t="str">
        <f t="shared" si="2"/>
        <v>N/A</v>
      </c>
    </row>
    <row r="19" spans="1:9" x14ac:dyDescent="0.3">
      <c r="A19" t="s">
        <v>16</v>
      </c>
      <c r="B19" t="s">
        <v>11</v>
      </c>
      <c r="C19">
        <v>13798.5</v>
      </c>
      <c r="D19">
        <v>2433.96</v>
      </c>
      <c r="E19">
        <v>8075.78</v>
      </c>
      <c r="G19" s="4">
        <f t="shared" si="0"/>
        <v>17.639308620502227</v>
      </c>
      <c r="H19" s="4">
        <f t="shared" si="1"/>
        <v>58.526506504330179</v>
      </c>
      <c r="I19" t="str">
        <f t="shared" si="2"/>
        <v>N/A</v>
      </c>
    </row>
    <row r="20" spans="1:9" x14ac:dyDescent="0.3">
      <c r="A20" t="s">
        <v>16</v>
      </c>
      <c r="B20" t="s">
        <v>12</v>
      </c>
      <c r="C20">
        <v>13278.52</v>
      </c>
      <c r="D20">
        <v>2421.89</v>
      </c>
      <c r="E20">
        <v>7925.33</v>
      </c>
      <c r="F20">
        <v>31000</v>
      </c>
      <c r="G20" s="4">
        <f t="shared" si="0"/>
        <v>18.239156171019058</v>
      </c>
      <c r="H20" s="4">
        <f t="shared" si="1"/>
        <v>59.685341438654305</v>
      </c>
      <c r="I20" s="4">
        <f t="shared" si="2"/>
        <v>42.833935483870974</v>
      </c>
    </row>
    <row r="21" spans="1:9" x14ac:dyDescent="0.3">
      <c r="A21" t="s">
        <v>16</v>
      </c>
      <c r="B21" t="s">
        <v>13</v>
      </c>
      <c r="C21">
        <v>14229.99</v>
      </c>
      <c r="D21">
        <v>2646.98</v>
      </c>
      <c r="E21">
        <v>8144.66</v>
      </c>
      <c r="F21">
        <v>31422</v>
      </c>
      <c r="G21" s="4">
        <f t="shared" si="0"/>
        <v>18.601418553351056</v>
      </c>
      <c r="H21" s="4">
        <f t="shared" si="1"/>
        <v>57.235879997104711</v>
      </c>
      <c r="I21" s="4">
        <f t="shared" si="2"/>
        <v>45.286709948443765</v>
      </c>
    </row>
    <row r="22" spans="1:9" x14ac:dyDescent="0.3">
      <c r="A22" t="s">
        <v>17</v>
      </c>
      <c r="B22" t="s">
        <v>9</v>
      </c>
      <c r="C22">
        <v>5449.7</v>
      </c>
      <c r="D22">
        <v>1007.4</v>
      </c>
      <c r="E22">
        <v>3355</v>
      </c>
      <c r="G22" s="4">
        <f t="shared" si="0"/>
        <v>18.485421215846745</v>
      </c>
      <c r="H22" s="4">
        <f t="shared" si="1"/>
        <v>61.563021817714734</v>
      </c>
      <c r="I22" t="str">
        <f t="shared" si="2"/>
        <v>N/A</v>
      </c>
    </row>
    <row r="23" spans="1:9" x14ac:dyDescent="0.3">
      <c r="A23" t="s">
        <v>17</v>
      </c>
      <c r="B23" t="s">
        <v>10</v>
      </c>
      <c r="C23">
        <v>6569.7</v>
      </c>
      <c r="D23">
        <v>1414.9</v>
      </c>
      <c r="E23">
        <v>3650.5</v>
      </c>
      <c r="G23" s="4">
        <f t="shared" si="0"/>
        <v>21.5367520586937</v>
      </c>
      <c r="H23" s="4">
        <f t="shared" si="1"/>
        <v>55.565703152350942</v>
      </c>
      <c r="I23" t="str">
        <f t="shared" si="2"/>
        <v>N/A</v>
      </c>
    </row>
    <row r="24" spans="1:9" x14ac:dyDescent="0.3">
      <c r="A24" t="s">
        <v>17</v>
      </c>
      <c r="B24" t="s">
        <v>11</v>
      </c>
      <c r="C24">
        <v>8013.6</v>
      </c>
      <c r="D24">
        <v>1710.7</v>
      </c>
      <c r="E24">
        <v>4563.8999999999996</v>
      </c>
      <c r="G24" s="4">
        <f t="shared" si="0"/>
        <v>21.347459319157434</v>
      </c>
      <c r="H24" s="4">
        <f t="shared" si="1"/>
        <v>56.951931716082647</v>
      </c>
      <c r="I24" t="str">
        <f t="shared" si="2"/>
        <v>N/A</v>
      </c>
    </row>
    <row r="25" spans="1:9" x14ac:dyDescent="0.3">
      <c r="A25" t="s">
        <v>17</v>
      </c>
      <c r="B25" t="s">
        <v>12</v>
      </c>
      <c r="C25">
        <v>9647.2999999999993</v>
      </c>
      <c r="D25">
        <v>1919</v>
      </c>
      <c r="E25">
        <v>4929.8</v>
      </c>
      <c r="F25">
        <v>23250</v>
      </c>
      <c r="G25" s="4">
        <f t="shared" si="0"/>
        <v>19.891575881334674</v>
      </c>
      <c r="H25" s="4">
        <f t="shared" si="1"/>
        <v>51.100307858157215</v>
      </c>
      <c r="I25" s="4">
        <f t="shared" si="2"/>
        <v>41.493763440860207</v>
      </c>
    </row>
    <row r="26" spans="1:9" x14ac:dyDescent="0.3">
      <c r="A26" t="s">
        <v>17</v>
      </c>
      <c r="B26" t="s">
        <v>13</v>
      </c>
      <c r="C26">
        <v>9642.2000000000007</v>
      </c>
      <c r="D26">
        <v>1789.7</v>
      </c>
      <c r="E26">
        <v>5592.3</v>
      </c>
      <c r="F26">
        <v>23500</v>
      </c>
      <c r="G26" s="4">
        <f t="shared" si="0"/>
        <v>18.561116757586444</v>
      </c>
      <c r="H26" s="4">
        <f t="shared" si="1"/>
        <v>57.99817469042334</v>
      </c>
      <c r="I26" s="3">
        <f t="shared" si="2"/>
        <v>41.030638297872343</v>
      </c>
    </row>
    <row r="27" spans="1:9" x14ac:dyDescent="0.3">
      <c r="A27" t="s">
        <v>18</v>
      </c>
      <c r="B27" t="s">
        <v>9</v>
      </c>
      <c r="C27">
        <v>4132.3999999999996</v>
      </c>
      <c r="D27">
        <v>575</v>
      </c>
      <c r="E27">
        <v>2167.5</v>
      </c>
      <c r="G27" s="4">
        <f t="shared" si="0"/>
        <v>13.914432291162521</v>
      </c>
      <c r="H27" s="4">
        <f t="shared" si="1"/>
        <v>52.451359984512635</v>
      </c>
      <c r="I27" t="str">
        <f t="shared" si="2"/>
        <v>N/A</v>
      </c>
    </row>
    <row r="28" spans="1:9" x14ac:dyDescent="0.3">
      <c r="A28" t="s">
        <v>18</v>
      </c>
      <c r="B28" t="s">
        <v>10</v>
      </c>
      <c r="C28">
        <v>4534.3999999999996</v>
      </c>
      <c r="D28">
        <v>817.8</v>
      </c>
      <c r="E28">
        <v>2273.6999999999998</v>
      </c>
      <c r="G28" s="4">
        <f t="shared" si="0"/>
        <v>18.03546224417784</v>
      </c>
      <c r="H28" s="4">
        <f t="shared" si="1"/>
        <v>50.143348623853214</v>
      </c>
      <c r="I28" t="str">
        <f t="shared" si="2"/>
        <v>N/A</v>
      </c>
    </row>
    <row r="29" spans="1:9" x14ac:dyDescent="0.3">
      <c r="A29" t="s">
        <v>18</v>
      </c>
      <c r="B29" t="s">
        <v>11</v>
      </c>
      <c r="C29">
        <v>6015.9</v>
      </c>
      <c r="D29">
        <v>1003.1</v>
      </c>
      <c r="E29">
        <v>3033.8</v>
      </c>
      <c r="G29" s="4">
        <f t="shared" si="0"/>
        <v>16.674146844196216</v>
      </c>
      <c r="H29" s="4">
        <f t="shared" si="1"/>
        <v>50.429694642530634</v>
      </c>
      <c r="I29" t="str">
        <f t="shared" si="2"/>
        <v>N/A</v>
      </c>
    </row>
    <row r="30" spans="1:9" x14ac:dyDescent="0.3">
      <c r="A30" t="s">
        <v>18</v>
      </c>
      <c r="B30" t="s">
        <v>12</v>
      </c>
      <c r="C30">
        <v>7147.2</v>
      </c>
      <c r="D30">
        <v>1302.8</v>
      </c>
      <c r="E30">
        <v>3528</v>
      </c>
      <c r="F30">
        <v>15400</v>
      </c>
      <c r="G30" s="4">
        <f t="shared" si="0"/>
        <v>18.228117304678758</v>
      </c>
      <c r="H30" s="4">
        <f t="shared" si="1"/>
        <v>49.3619879113499</v>
      </c>
      <c r="I30" s="4">
        <f t="shared" si="2"/>
        <v>46.410389610389608</v>
      </c>
    </row>
    <row r="31" spans="1:9" x14ac:dyDescent="0.3">
      <c r="A31" t="s">
        <v>18</v>
      </c>
      <c r="B31" t="s">
        <v>13</v>
      </c>
      <c r="C31">
        <v>7360.4</v>
      </c>
      <c r="D31">
        <v>1138.4000000000001</v>
      </c>
      <c r="E31">
        <v>3704.8</v>
      </c>
      <c r="F31">
        <v>15800</v>
      </c>
      <c r="G31" s="4">
        <f t="shared" si="0"/>
        <v>15.466550730938538</v>
      </c>
      <c r="H31" s="4">
        <f t="shared" si="1"/>
        <v>50.334220966251841</v>
      </c>
      <c r="I31" s="4">
        <f t="shared" si="2"/>
        <v>46.584810126582276</v>
      </c>
    </row>
    <row r="32" spans="1:9" x14ac:dyDescent="0.3">
      <c r="A32" t="s">
        <v>19</v>
      </c>
      <c r="B32" t="s">
        <v>9</v>
      </c>
      <c r="C32">
        <v>3781.4</v>
      </c>
      <c r="D32">
        <v>689.9</v>
      </c>
      <c r="E32">
        <v>2152.6</v>
      </c>
      <c r="G32" s="4">
        <f t="shared" si="0"/>
        <v>18.244565504839478</v>
      </c>
      <c r="H32" s="4">
        <f t="shared" si="1"/>
        <v>56.926006241074731</v>
      </c>
      <c r="I32" t="str">
        <f t="shared" si="2"/>
        <v>N/A</v>
      </c>
    </row>
    <row r="33" spans="1:9" x14ac:dyDescent="0.3">
      <c r="A33" t="s">
        <v>19</v>
      </c>
      <c r="B33" t="s">
        <v>10</v>
      </c>
      <c r="C33">
        <v>4243.8</v>
      </c>
      <c r="D33">
        <v>656.5</v>
      </c>
      <c r="E33">
        <v>2575</v>
      </c>
      <c r="G33" s="4">
        <f t="shared" si="0"/>
        <v>15.469626278335452</v>
      </c>
      <c r="H33" s="4">
        <f t="shared" si="1"/>
        <v>60.676751967576223</v>
      </c>
      <c r="I33" t="str">
        <f t="shared" si="2"/>
        <v>N/A</v>
      </c>
    </row>
    <row r="34" spans="1:9" x14ac:dyDescent="0.3">
      <c r="A34" t="s">
        <v>19</v>
      </c>
      <c r="B34" t="s">
        <v>11</v>
      </c>
      <c r="C34">
        <v>4848.2</v>
      </c>
      <c r="D34">
        <v>552.20000000000005</v>
      </c>
      <c r="E34">
        <v>3123</v>
      </c>
      <c r="G34" s="4">
        <f t="shared" si="0"/>
        <v>11.389794150406338</v>
      </c>
      <c r="H34" s="4">
        <f t="shared" si="1"/>
        <v>64.415659419990916</v>
      </c>
      <c r="I34" t="str">
        <f t="shared" si="2"/>
        <v>N/A</v>
      </c>
    </row>
    <row r="35" spans="1:9" x14ac:dyDescent="0.3">
      <c r="A35" t="s">
        <v>19</v>
      </c>
      <c r="B35" t="s">
        <v>12</v>
      </c>
      <c r="C35">
        <v>4901.8999999999996</v>
      </c>
      <c r="D35">
        <v>871.7</v>
      </c>
      <c r="E35">
        <v>3101.7</v>
      </c>
      <c r="F35">
        <v>10200</v>
      </c>
      <c r="G35" s="4">
        <f t="shared" si="0"/>
        <v>17.7829005079663</v>
      </c>
      <c r="H35" s="4">
        <f t="shared" si="1"/>
        <v>63.275464615761237</v>
      </c>
      <c r="I35" s="3">
        <f t="shared" si="2"/>
        <v>48.057843137254899</v>
      </c>
    </row>
    <row r="36" spans="1:9" x14ac:dyDescent="0.3">
      <c r="A36" t="s">
        <v>19</v>
      </c>
      <c r="B36" t="s">
        <v>13</v>
      </c>
      <c r="C36">
        <v>5280.6</v>
      </c>
      <c r="D36">
        <v>816.7</v>
      </c>
      <c r="E36">
        <v>3390.4</v>
      </c>
      <c r="F36">
        <v>10500</v>
      </c>
      <c r="G36" s="4">
        <f t="shared" si="0"/>
        <v>15.46604552512972</v>
      </c>
      <c r="H36" s="4">
        <f t="shared" si="1"/>
        <v>64.204825209256526</v>
      </c>
      <c r="I36" s="4">
        <f t="shared" si="2"/>
        <v>50.291428571428575</v>
      </c>
    </row>
    <row r="38" spans="1:9" ht="18" x14ac:dyDescent="0.35">
      <c r="A38" s="6" t="s">
        <v>20</v>
      </c>
      <c r="C38">
        <f>MEDIAN(C6, C11, C16, C21, C26, C31, C36)</f>
        <v>9642.2000000000007</v>
      </c>
      <c r="D38">
        <f>MEDIAN(D6,D11,D16,D21,D26,D31,D36)</f>
        <v>1789.7</v>
      </c>
      <c r="E38">
        <f>MEDIAN(E36,E31,E26,E21,E16,E11,E6)</f>
        <v>5592.3</v>
      </c>
      <c r="G38" s="4">
        <f>MEDIAN(G36,G31,G26,G21,G16,G11,G6)</f>
        <v>18.37028815651065</v>
      </c>
      <c r="H38" s="4">
        <f>MEDIAN(H6,H11,H16,H21,H26,H31,H36)</f>
        <v>57.99817469042334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3539-C0F7-496A-9922-6777F3D33118}">
  <dimension ref="A1:C12"/>
  <sheetViews>
    <sheetView workbookViewId="0">
      <selection activeCell="A16" sqref="A16"/>
    </sheetView>
  </sheetViews>
  <sheetFormatPr defaultRowHeight="14.4" x14ac:dyDescent="0.3"/>
  <cols>
    <col min="1" max="1" width="24.109375" bestFit="1" customWidth="1"/>
    <col min="2" max="2" width="11.109375" bestFit="1" customWidth="1"/>
  </cols>
  <sheetData>
    <row r="1" spans="1:3" ht="18" x14ac:dyDescent="0.35">
      <c r="A1" s="9" t="s">
        <v>27</v>
      </c>
      <c r="B1" s="8"/>
      <c r="C1" s="8"/>
    </row>
    <row r="2" spans="1:3" ht="15.6" x14ac:dyDescent="0.3">
      <c r="A2" s="2" t="s">
        <v>22</v>
      </c>
      <c r="B2" s="2" t="s">
        <v>23</v>
      </c>
    </row>
    <row r="3" spans="1:3" x14ac:dyDescent="0.3">
      <c r="A3" s="1" t="s">
        <v>24</v>
      </c>
      <c r="B3" s="7">
        <v>17.239704088880551</v>
      </c>
    </row>
    <row r="4" spans="1:3" x14ac:dyDescent="0.3">
      <c r="A4" s="1" t="s">
        <v>25</v>
      </c>
      <c r="B4" s="7">
        <v>18.37028815651065</v>
      </c>
    </row>
    <row r="5" spans="1:3" x14ac:dyDescent="0.3">
      <c r="A5" s="1" t="s">
        <v>26</v>
      </c>
      <c r="B5" s="7">
        <v>-1.1305840676300996</v>
      </c>
    </row>
    <row r="8" spans="1:3" ht="15.6" x14ac:dyDescent="0.3">
      <c r="A8" s="10" t="s">
        <v>28</v>
      </c>
      <c r="B8" s="8"/>
      <c r="C8" s="8"/>
    </row>
    <row r="9" spans="1:3" ht="15.6" x14ac:dyDescent="0.3">
      <c r="A9" s="2" t="s">
        <v>29</v>
      </c>
    </row>
    <row r="10" spans="1:3" x14ac:dyDescent="0.3">
      <c r="A10" s="1" t="s">
        <v>30</v>
      </c>
      <c r="B10" s="7">
        <f>'Peer matrix '!H6-'Peer matrix '!H38</f>
        <v>-0.38571707352639351</v>
      </c>
    </row>
    <row r="11" spans="1:3" x14ac:dyDescent="0.3">
      <c r="A11" s="1" t="s">
        <v>31</v>
      </c>
      <c r="B11" s="7">
        <f>B5-B10</f>
        <v>-0.74486699410370605</v>
      </c>
    </row>
    <row r="12" spans="1:3" x14ac:dyDescent="0.3">
      <c r="A12" s="1"/>
    </row>
  </sheetData>
  <mergeCells count="2">
    <mergeCell ref="A1:C1"/>
    <mergeCell ref="A8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BC9C-1006-4EB9-A05A-96D2DC4D4C1E}">
  <dimension ref="A1:D10"/>
  <sheetViews>
    <sheetView tabSelected="1" workbookViewId="0">
      <selection activeCell="H14" sqref="H14"/>
    </sheetView>
  </sheetViews>
  <sheetFormatPr defaultRowHeight="14.4" x14ac:dyDescent="0.3"/>
  <cols>
    <col min="1" max="1" width="22.6640625" bestFit="1" customWidth="1"/>
    <col min="2" max="2" width="16.109375" bestFit="1" customWidth="1"/>
    <col min="3" max="3" width="15.77734375" bestFit="1" customWidth="1"/>
    <col min="4" max="4" width="16.33203125" bestFit="1" customWidth="1"/>
  </cols>
  <sheetData>
    <row r="1" spans="1:4" ht="18" x14ac:dyDescent="0.35">
      <c r="A1" s="8" t="s">
        <v>39</v>
      </c>
      <c r="B1" s="8"/>
      <c r="C1" s="8"/>
    </row>
    <row r="2" spans="1:4" ht="15.6" x14ac:dyDescent="0.3">
      <c r="A2" s="2" t="s">
        <v>32</v>
      </c>
      <c r="B2" s="2" t="s">
        <v>33</v>
      </c>
      <c r="C2" s="2" t="s">
        <v>34</v>
      </c>
      <c r="D2" s="2" t="s">
        <v>35</v>
      </c>
    </row>
    <row r="3" spans="1:4" x14ac:dyDescent="0.3">
      <c r="A3" t="s">
        <v>36</v>
      </c>
      <c r="B3" s="11">
        <f>11938.72*1.1</f>
        <v>13132.592000000001</v>
      </c>
      <c r="C3" s="11">
        <f>11938.72*1.15</f>
        <v>13729.527999999998</v>
      </c>
      <c r="D3" s="11">
        <f>11938.72*1.05</f>
        <v>12535.655999999999</v>
      </c>
    </row>
    <row r="4" spans="1:4" x14ac:dyDescent="0.3">
      <c r="A4" t="s">
        <v>37</v>
      </c>
      <c r="B4" s="11">
        <f>B3*1.1</f>
        <v>14445.851200000001</v>
      </c>
      <c r="C4" s="11">
        <f>C3*1.15</f>
        <v>15788.957199999997</v>
      </c>
      <c r="D4" s="11">
        <f>D3*1.05</f>
        <v>13162.4388</v>
      </c>
    </row>
    <row r="5" spans="1:4" x14ac:dyDescent="0.3">
      <c r="A5" t="s">
        <v>38</v>
      </c>
      <c r="B5" s="11">
        <f>B4*1.1</f>
        <v>15890.436320000003</v>
      </c>
      <c r="C5" s="11">
        <f>C4*1.15</f>
        <v>18157.300779999994</v>
      </c>
      <c r="D5" s="11">
        <f>D4*1.05</f>
        <v>13820.560740000001</v>
      </c>
    </row>
    <row r="8" spans="1:4" ht="18" x14ac:dyDescent="0.35">
      <c r="A8" s="9" t="s">
        <v>40</v>
      </c>
      <c r="B8" s="8"/>
      <c r="C8" s="8"/>
    </row>
    <row r="9" spans="1:4" x14ac:dyDescent="0.3">
      <c r="A9" t="s">
        <v>41</v>
      </c>
      <c r="B9" t="s">
        <v>42</v>
      </c>
      <c r="C9" t="s">
        <v>43</v>
      </c>
      <c r="D9" t="s">
        <v>44</v>
      </c>
    </row>
    <row r="10" spans="1:4" x14ac:dyDescent="0.3">
      <c r="A10" t="s">
        <v>45</v>
      </c>
      <c r="B10" s="5">
        <f>(2058.2/11938.72)</f>
        <v>0.1723970408888055</v>
      </c>
      <c r="C10" s="5">
        <f>(2058.2+(6878.19*0.05))/11938.72</f>
        <v>0.20120326969725394</v>
      </c>
      <c r="D10">
        <f>(C10-B10)*10000</f>
        <v>288.06228808448435</v>
      </c>
    </row>
  </sheetData>
  <mergeCells count="2">
    <mergeCell ref="A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Peer matrix </vt:lpstr>
      <vt:lpstr>Margin Bridge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Bittu Singh</dc:creator>
  <cp:lastModifiedBy>Bittu Singh</cp:lastModifiedBy>
  <dcterms:created xsi:type="dcterms:W3CDTF">2026-10-27T07:05:28Z</dcterms:created>
  <dcterms:modified xsi:type="dcterms:W3CDTF">2026-10-27T20:14:00Z</dcterms:modified>
</cp:coreProperties>
</file>